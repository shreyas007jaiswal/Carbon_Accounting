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resh Backup\FG\Fluentgrid_June2025\Carbon Accounting\User Stories and Use case\"/>
    </mc:Choice>
  </mc:AlternateContent>
  <xr:revisionPtr revIDLastSave="0" documentId="13_ncr:1_{65BD7AE8-5D82-41A2-B91D-90700E7298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entory" sheetId="1" r:id="rId1"/>
    <sheet name="Emission Factors (Blank)" sheetId="2" r:id="rId2"/>
    <sheet name="Emission Factors (India-EU-US)" sheetId="3" r:id="rId3"/>
    <sheet name="Read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<sst xmlns="http://schemas.openxmlformats.org/spreadsheetml/2006/main" count="172" uniqueCount="96">
  <si>
    <t>Source Category</t>
  </si>
  <si>
    <t>Specific Source</t>
  </si>
  <si>
    <t>Activity Data</t>
  </si>
  <si>
    <t>Units</t>
  </si>
  <si>
    <t>Emission Factor</t>
  </si>
  <si>
    <t>EF Units</t>
  </si>
  <si>
    <t>Calculated Emissions (tCO2e)</t>
  </si>
  <si>
    <t>Notes</t>
  </si>
  <si>
    <t>Mobile Combustion</t>
  </si>
  <si>
    <t>Stationary Combustion</t>
  </si>
  <si>
    <t>Process Emissions</t>
  </si>
  <si>
    <t>Fugitive Emissions</t>
  </si>
  <si>
    <t>Company-owned vehicles – Diesel</t>
  </si>
  <si>
    <t>Company-owned vehicles – Gasoline/Petrol</t>
  </si>
  <si>
    <t>Company-owned vehicles – CNG</t>
  </si>
  <si>
    <t>Company-owned vehicles – LNG</t>
  </si>
  <si>
    <t>Boiler – Natural Gas</t>
  </si>
  <si>
    <t>Boiler/Furnace – Diesel</t>
  </si>
  <si>
    <t>Generator – Diesel</t>
  </si>
  <si>
    <t>Generator – Gasoline</t>
  </si>
  <si>
    <t>Industrial Furnace/Kiln – Fuel Oil</t>
  </si>
  <si>
    <t>Industrial process (e.g., cement calcination)</t>
  </si>
  <si>
    <t>Refrigerants – R-410A leaks</t>
  </si>
  <si>
    <t>Refrigerants – R-134a leaks</t>
  </si>
  <si>
    <t>SF6 – switchgear leaks</t>
  </si>
  <si>
    <t>Natural gas distribution – methane leaks</t>
  </si>
  <si>
    <t>liters</t>
  </si>
  <si>
    <t>kg</t>
  </si>
  <si>
    <t>m3</t>
  </si>
  <si>
    <t>ton of output</t>
  </si>
  <si>
    <t>kg leaked</t>
  </si>
  <si>
    <t>kg CO2e/liter</t>
  </si>
  <si>
    <t>kg CO2e/kg</t>
  </si>
  <si>
    <t>kg CO2e/m3</t>
  </si>
  <si>
    <t>kg CO2e/ton</t>
  </si>
  <si>
    <t>Enter diesel consumed by owned fleet</t>
  </si>
  <si>
    <t>Enter petrol consumed by owned fleet</t>
  </si>
  <si>
    <t>If vehicles use CNG, enter mass used</t>
  </si>
  <si>
    <t>If vehicles use LNG, enter mass used</t>
  </si>
  <si>
    <t>On-site boilers/furnaces using pipeline gas</t>
  </si>
  <si>
    <t>Backup gensets/heaters using diesel</t>
  </si>
  <si>
    <t>Generator sets for power backup</t>
  </si>
  <si>
    <t>Small portable generators</t>
  </si>
  <si>
    <t>Process heat in industrial furnaces</t>
  </si>
  <si>
    <t>Enter process-specific EF from standard</t>
  </si>
  <si>
    <t>Sum annual top-ups or leak tests</t>
  </si>
  <si>
    <t>If applicable to chillers/AC</t>
  </si>
  <si>
    <t>Substations/electrical equipment</t>
  </si>
  <si>
    <t>If you operate gas systems on site</t>
  </si>
  <si>
    <t>Factor Name</t>
  </si>
  <si>
    <t>Value (enter from standard)</t>
  </si>
  <si>
    <t>Diesel (mobile)</t>
  </si>
  <si>
    <t>Gasoline/Petrol (mobile)</t>
  </si>
  <si>
    <t>CNG (mobile)</t>
  </si>
  <si>
    <t>LNG (mobile)</t>
  </si>
  <si>
    <t>Natural Gas (stationary)</t>
  </si>
  <si>
    <t>Diesel (stationary)</t>
  </si>
  <si>
    <t>Gasoline (stationary)</t>
  </si>
  <si>
    <t>Fuel Oil (stationary)</t>
  </si>
  <si>
    <t>Process-specific EF (e.g., clinker)</t>
  </si>
  <si>
    <t>R-410A</t>
  </si>
  <si>
    <t>R-134a</t>
  </si>
  <si>
    <t>SF6</t>
  </si>
  <si>
    <t>Methane (CH4) leaks</t>
  </si>
  <si>
    <t>Source</t>
  </si>
  <si>
    <t>India (CEA/IPCC)</t>
  </si>
  <si>
    <t>EU (DEFRA/IPCC)</t>
  </si>
  <si>
    <t>US (EPA/IPCC)</t>
  </si>
  <si>
    <t>Process-specific EF (cement clinker)</t>
  </si>
  <si>
    <t>Instructions</t>
  </si>
  <si>
    <t>Scope 1 Emissions Inventory Template</t>
  </si>
  <si>
    <t>Generated: 2025-08-26</t>
  </si>
  <si>
    <t>WHAT THIS FILE DOES</t>
  </si>
  <si>
    <t>- Identifies typical Scope 1 (direct) emission sources per GHG Protocol, U.S. EPA, and WWF guidance.</t>
  </si>
  <si>
    <t>- Lets you enter Activity Data and Emission Factors (EFs) from authoritative sources.</t>
  </si>
  <si>
    <t>- Calculates emissions (tCO2e) using: ACTIVITY DATA × EMISSION FACTOR.</t>
  </si>
  <si>
    <t>HOW TO USE</t>
  </si>
  <si>
    <t>1) Go to the 'Inventory' sheet.</t>
  </si>
  <si>
    <t>2) For each row that applies to your organization, enter:</t>
  </si>
  <si>
    <t xml:space="preserve">   - Activity Data (numeric, e.g., liters of diesel, m3 natural gas, kg refrigerant leaked).</t>
  </si>
  <si>
    <t xml:space="preserve">   - Emission Factor (from GHG Protocol/EPA/WWF/DEFRA or local authorities).</t>
  </si>
  <si>
    <t>3) The 'Calculated Emissions (tCO2e)' column will compute automatically.</t>
  </si>
  <si>
    <t>4) If you need reference EFs, use the 'Emission Factors' sheet to store values you collect from standards.</t>
  </si>
  <si>
    <t>5) Add/duplicate rows as needed; keep Scope 1 to OWNED/CONTROLLED sources only.</t>
  </si>
  <si>
    <t>FORMULA</t>
  </si>
  <si>
    <t>- Calculated Emissions (tCO2e) = (Activity Data × Emission Factor) ÷ 1000</t>
  </si>
  <si>
    <t xml:space="preserve">  Assumes EF units are kg CO2e per unit of activity.</t>
  </si>
  <si>
    <t>SOURCES TO USE FOR EFs (enter values manually):</t>
  </si>
  <si>
    <t>- GHG Protocol Corporate Standard &amp; Calculation Guidance (Scope 1)</t>
  </si>
  <si>
    <t>- U.S. EPA GHG Inventory and Emission Factors</t>
  </si>
  <si>
    <t>- WWF/Science Based Targets or national inventories (e.g., IPCC, DEFRA)</t>
  </si>
  <si>
    <t>Always ensure units align (e.g., liters vs. gallons; m3 vs. kWh) and convert where needed.</t>
  </si>
  <si>
    <t>QUALITY TIPS</t>
  </si>
  <si>
    <t>- Keep evidence for each number (invoices, meter logs, maintenance records).</t>
  </si>
  <si>
    <t>- For refrigerants: use annual top-up records and leak tests.</t>
  </si>
  <si>
    <t>- For SF6 and methane: use equipment inspections or system-level loss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</si>
</sst>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3" sqref="E3"/>
    </sheetView>
  </sheetViews>
  <sheetFormatPr defaultRowHeight="14.5" x14ac:dyDescent="0.35"/>
  <cols>
    <col min="1" max="1" width="22.7265625" customWidth="1"/>
    <col min="2" max="2" width="40.7265625" customWidth="1"/>
    <col min="3" max="3" width="16.7265625" customWidth="1"/>
    <col min="4" max="4" width="10.7265625" customWidth="1"/>
    <col min="5" max="5" width="16.7265625" customWidth="1"/>
    <col min="6" max="6" width="14.7265625" customWidth="1"/>
    <col min="7" max="7" width="25.453125" bestFit="1" customWidth="1"/>
    <col min="8" max="8" width="40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t="e">
        <f t="shared" ref="G2:G16" si="0">IF(OR(ISBLANK(C2),ISBLANK(E2)), "", (C2*E2)/1000)</f>
        <v>#VALUE!</v>
      </c>
      <c r="H2" s="2" t="s">
        <v>7</v>
      </c>
    </row>
    <row r="3" spans="1:8" x14ac:dyDescent="0.35">
      <c r="A3" t="s">
        <v>8</v>
      </c>
      <c r="B3" t="s">
        <v>12</v>
      </c>
      <c r="D3" t="s">
        <v>26</v>
      </c>
      <c r="E3">
        <v>2.68</v>
      </c>
      <c r="F3" t="s">
        <v>31</v>
      </c>
      <c r="G3" t="str">
        <f t="shared" si="0"/>
        <v/>
      </c>
      <c r="H3" t="s">
        <v>35</v>
      </c>
    </row>
    <row r="4" spans="1:8" x14ac:dyDescent="0.35">
      <c r="A4" t="s">
        <v>8</v>
      </c>
      <c r="B4" t="s">
        <v>13</v>
      </c>
      <c r="D4" t="s">
        <v>26</v>
      </c>
      <c r="E4">
        <v>2.31</v>
      </c>
      <c r="F4" t="s">
        <v>31</v>
      </c>
      <c r="G4" t="str">
        <f t="shared" si="0"/>
        <v/>
      </c>
      <c r="H4" t="s">
        <v>36</v>
      </c>
    </row>
    <row r="5" spans="1:8" x14ac:dyDescent="0.35">
      <c r="A5" t="s">
        <v>8</v>
      </c>
      <c r="B5" t="s">
        <v>14</v>
      </c>
      <c r="D5" t="s">
        <v>27</v>
      </c>
      <c r="E5">
        <v>2.75</v>
      </c>
      <c r="F5" t="s">
        <v>32</v>
      </c>
      <c r="G5" t="str">
        <f t="shared" si="0"/>
        <v/>
      </c>
      <c r="H5" t="s">
        <v>37</v>
      </c>
    </row>
    <row r="6" spans="1:8" x14ac:dyDescent="0.35">
      <c r="A6" t="s">
        <v>8</v>
      </c>
      <c r="B6" t="s">
        <v>15</v>
      </c>
      <c r="D6" t="s">
        <v>27</v>
      </c>
      <c r="E6">
        <v>2.75</v>
      </c>
      <c r="F6" t="s">
        <v>32</v>
      </c>
      <c r="G6" t="str">
        <f t="shared" si="0"/>
        <v/>
      </c>
      <c r="H6" t="s">
        <v>38</v>
      </c>
    </row>
    <row r="7" spans="1:8" x14ac:dyDescent="0.35">
      <c r="A7" t="s">
        <v>9</v>
      </c>
      <c r="B7" t="s">
        <v>16</v>
      </c>
      <c r="D7" t="s">
        <v>28</v>
      </c>
      <c r="E7">
        <v>2</v>
      </c>
      <c r="F7" t="s">
        <v>33</v>
      </c>
      <c r="G7" t="str">
        <f t="shared" si="0"/>
        <v/>
      </c>
      <c r="H7" t="s">
        <v>39</v>
      </c>
    </row>
    <row r="8" spans="1:8" x14ac:dyDescent="0.35">
      <c r="A8" t="s">
        <v>9</v>
      </c>
      <c r="B8" t="s">
        <v>17</v>
      </c>
      <c r="D8" t="s">
        <v>26</v>
      </c>
      <c r="E8">
        <v>2.68</v>
      </c>
      <c r="F8" t="s">
        <v>31</v>
      </c>
      <c r="G8" t="str">
        <f t="shared" si="0"/>
        <v/>
      </c>
      <c r="H8" t="s">
        <v>40</v>
      </c>
    </row>
    <row r="9" spans="1:8" x14ac:dyDescent="0.35">
      <c r="A9" t="s">
        <v>9</v>
      </c>
      <c r="B9" t="s">
        <v>18</v>
      </c>
      <c r="D9" t="s">
        <v>26</v>
      </c>
      <c r="E9">
        <v>2.68</v>
      </c>
      <c r="F9" t="s">
        <v>31</v>
      </c>
      <c r="G9" t="str">
        <f t="shared" si="0"/>
        <v/>
      </c>
      <c r="H9" t="s">
        <v>41</v>
      </c>
    </row>
    <row r="10" spans="1:8" x14ac:dyDescent="0.35">
      <c r="A10" t="s">
        <v>9</v>
      </c>
      <c r="B10" t="s">
        <v>19</v>
      </c>
      <c r="D10" t="s">
        <v>26</v>
      </c>
      <c r="E10">
        <v>2.31</v>
      </c>
      <c r="F10" t="s">
        <v>31</v>
      </c>
      <c r="G10" t="str">
        <f t="shared" si="0"/>
        <v/>
      </c>
      <c r="H10" t="s">
        <v>42</v>
      </c>
    </row>
    <row r="11" spans="1:8" x14ac:dyDescent="0.35">
      <c r="A11" t="s">
        <v>9</v>
      </c>
      <c r="B11" t="s">
        <v>20</v>
      </c>
      <c r="D11" t="s">
        <v>26</v>
      </c>
      <c r="E11">
        <v>3.1</v>
      </c>
      <c r="F11" t="s">
        <v>31</v>
      </c>
      <c r="G11" t="str">
        <f t="shared" si="0"/>
        <v/>
      </c>
      <c r="H11" t="s">
        <v>43</v>
      </c>
    </row>
    <row r="12" spans="1:8" x14ac:dyDescent="0.35">
      <c r="A12" t="s">
        <v>10</v>
      </c>
      <c r="B12" t="s">
        <v>21</v>
      </c>
      <c r="D12" t="s">
        <v>29</v>
      </c>
      <c r="E12">
        <v>510000</v>
      </c>
      <c r="F12" t="s">
        <v>34</v>
      </c>
      <c r="G12" t="str">
        <f t="shared" si="0"/>
        <v/>
      </c>
      <c r="H12" t="s">
        <v>44</v>
      </c>
    </row>
    <row r="13" spans="1:8" x14ac:dyDescent="0.35">
      <c r="A13" t="s">
        <v>11</v>
      </c>
      <c r="B13" t="s">
        <v>22</v>
      </c>
      <c r="D13" t="s">
        <v>30</v>
      </c>
      <c r="E13">
        <v>2088</v>
      </c>
      <c r="F13" t="s">
        <v>32</v>
      </c>
      <c r="G13" t="str">
        <f t="shared" si="0"/>
        <v/>
      </c>
      <c r="H13" t="s">
        <v>45</v>
      </c>
    </row>
    <row r="14" spans="1:8" x14ac:dyDescent="0.35">
      <c r="A14" t="s">
        <v>11</v>
      </c>
      <c r="B14" t="s">
        <v>23</v>
      </c>
      <c r="D14" t="s">
        <v>30</v>
      </c>
      <c r="E14">
        <v>1430</v>
      </c>
      <c r="F14" t="s">
        <v>32</v>
      </c>
      <c r="G14" t="str">
        <f t="shared" si="0"/>
        <v/>
      </c>
      <c r="H14" t="s">
        <v>46</v>
      </c>
    </row>
    <row r="15" spans="1:8" x14ac:dyDescent="0.35">
      <c r="A15" t="s">
        <v>11</v>
      </c>
      <c r="B15" t="s">
        <v>24</v>
      </c>
      <c r="D15" t="s">
        <v>30</v>
      </c>
      <c r="E15">
        <v>22800</v>
      </c>
      <c r="F15" t="s">
        <v>32</v>
      </c>
      <c r="G15" t="str">
        <f t="shared" si="0"/>
        <v/>
      </c>
      <c r="H15" t="s">
        <v>47</v>
      </c>
    </row>
    <row r="16" spans="1:8" x14ac:dyDescent="0.35">
      <c r="A16" t="s">
        <v>11</v>
      </c>
      <c r="B16" t="s">
        <v>25</v>
      </c>
      <c r="D16" t="s">
        <v>30</v>
      </c>
      <c r="E16">
        <v>28</v>
      </c>
      <c r="F16" t="s">
        <v>32</v>
      </c>
      <c r="G16" t="str">
        <f t="shared" si="0"/>
        <v/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5" x14ac:dyDescent="0.35"/>
  <cols>
    <col min="2" max="2" width="11.6328125" bestFit="1" customWidth="1"/>
    <col min="3" max="3" width="24.6328125" bestFit="1" customWidth="1"/>
  </cols>
  <sheetData>
    <row r="1" spans="1:3" x14ac:dyDescent="0.35">
      <c r="A1" s="2" t="s">
        <v>49</v>
      </c>
      <c r="B1" s="2" t="s">
        <v>5</v>
      </c>
      <c r="C1" s="2" t="s">
        <v>50</v>
      </c>
    </row>
    <row r="2" spans="1:3" x14ac:dyDescent="0.35">
      <c r="A2" t="s">
        <v>51</v>
      </c>
      <c r="B2" t="s">
        <v>31</v>
      </c>
    </row>
    <row r="3" spans="1:3" x14ac:dyDescent="0.35">
      <c r="A3" t="s">
        <v>52</v>
      </c>
      <c r="B3" t="s">
        <v>31</v>
      </c>
    </row>
    <row r="4" spans="1:3" x14ac:dyDescent="0.35">
      <c r="A4" t="s">
        <v>53</v>
      </c>
      <c r="B4" t="s">
        <v>32</v>
      </c>
    </row>
    <row r="5" spans="1:3" x14ac:dyDescent="0.35">
      <c r="A5" t="s">
        <v>54</v>
      </c>
      <c r="B5" t="s">
        <v>32</v>
      </c>
    </row>
    <row r="6" spans="1:3" x14ac:dyDescent="0.35">
      <c r="A6" t="s">
        <v>55</v>
      </c>
      <c r="B6" t="s">
        <v>33</v>
      </c>
    </row>
    <row r="7" spans="1:3" x14ac:dyDescent="0.35">
      <c r="A7" t="s">
        <v>56</v>
      </c>
      <c r="B7" t="s">
        <v>31</v>
      </c>
    </row>
    <row r="8" spans="1:3" x14ac:dyDescent="0.35">
      <c r="A8" t="s">
        <v>57</v>
      </c>
      <c r="B8" t="s">
        <v>31</v>
      </c>
    </row>
    <row r="9" spans="1:3" x14ac:dyDescent="0.35">
      <c r="A9" t="s">
        <v>58</v>
      </c>
      <c r="B9" t="s">
        <v>31</v>
      </c>
    </row>
    <row r="10" spans="1:3" x14ac:dyDescent="0.35">
      <c r="A10" t="s">
        <v>59</v>
      </c>
      <c r="B10" t="s">
        <v>34</v>
      </c>
    </row>
    <row r="11" spans="1:3" x14ac:dyDescent="0.35">
      <c r="A11" t="s">
        <v>60</v>
      </c>
      <c r="B11" t="s">
        <v>32</v>
      </c>
    </row>
    <row r="12" spans="1:3" x14ac:dyDescent="0.35">
      <c r="A12" t="s">
        <v>61</v>
      </c>
      <c r="B12" t="s">
        <v>32</v>
      </c>
    </row>
    <row r="13" spans="1:3" x14ac:dyDescent="0.35">
      <c r="A13" t="s">
        <v>62</v>
      </c>
      <c r="B13" t="s">
        <v>32</v>
      </c>
    </row>
    <row r="14" spans="1:3" x14ac:dyDescent="0.35">
      <c r="A14" t="s">
        <v>63</v>
      </c>
      <c r="B1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C20" sqref="C20"/>
    </sheetView>
  </sheetViews>
  <sheetFormatPr defaultRowHeight="14.5" x14ac:dyDescent="0.35"/>
  <cols>
    <col min="1" max="1" width="30.453125" bestFit="1" customWidth="1"/>
    <col min="2" max="2" width="11.6328125" bestFit="1" customWidth="1"/>
    <col min="3" max="3" width="14.7265625" bestFit="1" customWidth="1"/>
    <col min="4" max="4" width="15" bestFit="1" customWidth="1"/>
    <col min="5" max="5" width="12.6328125" bestFit="1" customWidth="1"/>
  </cols>
  <sheetData>
    <row r="1" spans="1:5" x14ac:dyDescent="0.35">
      <c r="A1" s="2" t="s">
        <v>64</v>
      </c>
      <c r="B1" s="2" t="s">
        <v>3</v>
      </c>
      <c r="C1" s="2" t="s">
        <v>65</v>
      </c>
      <c r="D1" s="2" t="s">
        <v>66</v>
      </c>
      <c r="E1" s="2" t="s">
        <v>67</v>
      </c>
    </row>
    <row r="2" spans="1:5" x14ac:dyDescent="0.35">
      <c r="A2" t="s">
        <v>51</v>
      </c>
      <c r="B2" t="s">
        <v>31</v>
      </c>
      <c r="C2">
        <v>2.68</v>
      </c>
      <c r="D2">
        <v>2.68</v>
      </c>
      <c r="E2">
        <v>2.68</v>
      </c>
    </row>
    <row r="3" spans="1:5" x14ac:dyDescent="0.35">
      <c r="A3" t="s">
        <v>52</v>
      </c>
      <c r="B3" t="s">
        <v>31</v>
      </c>
      <c r="C3">
        <v>2.31</v>
      </c>
      <c r="D3">
        <v>2.31</v>
      </c>
      <c r="E3">
        <v>2.31</v>
      </c>
    </row>
    <row r="4" spans="1:5" x14ac:dyDescent="0.35">
      <c r="A4" t="s">
        <v>53</v>
      </c>
      <c r="B4" t="s">
        <v>32</v>
      </c>
      <c r="C4">
        <v>2.75</v>
      </c>
      <c r="D4">
        <v>2.75</v>
      </c>
      <c r="E4">
        <v>2.75</v>
      </c>
    </row>
    <row r="5" spans="1:5" x14ac:dyDescent="0.35">
      <c r="A5" t="s">
        <v>54</v>
      </c>
      <c r="B5" t="s">
        <v>32</v>
      </c>
      <c r="C5">
        <v>2.75</v>
      </c>
      <c r="D5">
        <v>2.75</v>
      </c>
      <c r="E5">
        <v>2.75</v>
      </c>
    </row>
    <row r="6" spans="1:5" x14ac:dyDescent="0.35">
      <c r="A6" t="s">
        <v>55</v>
      </c>
      <c r="B6" t="s">
        <v>33</v>
      </c>
      <c r="C6">
        <v>1.9</v>
      </c>
      <c r="D6">
        <v>2</v>
      </c>
      <c r="E6">
        <v>1.88</v>
      </c>
    </row>
    <row r="7" spans="1:5" x14ac:dyDescent="0.35">
      <c r="A7" t="s">
        <v>56</v>
      </c>
      <c r="B7" t="s">
        <v>31</v>
      </c>
      <c r="C7">
        <v>2.68</v>
      </c>
      <c r="D7">
        <v>2.68</v>
      </c>
      <c r="E7">
        <v>2.68</v>
      </c>
    </row>
    <row r="8" spans="1:5" x14ac:dyDescent="0.35">
      <c r="A8" t="s">
        <v>57</v>
      </c>
      <c r="B8" t="s">
        <v>31</v>
      </c>
      <c r="C8">
        <v>2.31</v>
      </c>
      <c r="D8">
        <v>2.31</v>
      </c>
      <c r="E8">
        <v>2.31</v>
      </c>
    </row>
    <row r="9" spans="1:5" x14ac:dyDescent="0.35">
      <c r="A9" t="s">
        <v>58</v>
      </c>
      <c r="B9" t="s">
        <v>31</v>
      </c>
      <c r="C9">
        <v>3.1</v>
      </c>
      <c r="D9">
        <v>3.1</v>
      </c>
      <c r="E9">
        <v>3.1</v>
      </c>
    </row>
    <row r="10" spans="1:5" x14ac:dyDescent="0.35">
      <c r="A10" t="s">
        <v>68</v>
      </c>
      <c r="B10" t="s">
        <v>34</v>
      </c>
      <c r="C10">
        <v>510000</v>
      </c>
      <c r="D10">
        <v>510000</v>
      </c>
      <c r="E10">
        <v>510000</v>
      </c>
    </row>
    <row r="11" spans="1:5" x14ac:dyDescent="0.35">
      <c r="A11" t="s">
        <v>60</v>
      </c>
      <c r="B11" t="s">
        <v>32</v>
      </c>
      <c r="C11">
        <v>2088</v>
      </c>
      <c r="D11">
        <v>2088</v>
      </c>
      <c r="E11">
        <v>2088</v>
      </c>
    </row>
    <row r="12" spans="1:5" x14ac:dyDescent="0.35">
      <c r="A12" t="s">
        <v>61</v>
      </c>
      <c r="B12" t="s">
        <v>32</v>
      </c>
      <c r="C12">
        <v>1430</v>
      </c>
      <c r="D12">
        <v>1430</v>
      </c>
      <c r="E12">
        <v>1430</v>
      </c>
    </row>
    <row r="13" spans="1:5" x14ac:dyDescent="0.35">
      <c r="A13" t="s">
        <v>62</v>
      </c>
      <c r="B13" t="s">
        <v>32</v>
      </c>
      <c r="C13">
        <v>22800</v>
      </c>
      <c r="D13">
        <v>22800</v>
      </c>
      <c r="E13">
        <v>22800</v>
      </c>
    </row>
    <row r="14" spans="1:5" x14ac:dyDescent="0.35">
      <c r="A14" t="s">
        <v>63</v>
      </c>
      <c r="B14" t="s">
        <v>32</v>
      </c>
      <c r="C14">
        <v>25</v>
      </c>
      <c r="D14">
        <v>28</v>
      </c>
      <c r="E14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topLeftCell="A7" workbookViewId="0">
      <selection activeCell="G21" sqref="G21"/>
    </sheetView>
  </sheetViews>
  <sheetFormatPr defaultRowHeight="14.5" x14ac:dyDescent="0.35"/>
  <sheetData>
    <row r="1" spans="1:1" x14ac:dyDescent="0.35">
      <c r="A1" s="2" t="s">
        <v>69</v>
      </c>
    </row>
    <row r="2" spans="1:1" x14ac:dyDescent="0.35">
      <c r="A2" t="s">
        <v>70</v>
      </c>
    </row>
    <row r="3" spans="1:1" x14ac:dyDescent="0.35">
      <c r="A3" t="s">
        <v>71</v>
      </c>
    </row>
    <row r="5" spans="1:1" x14ac:dyDescent="0.35">
      <c r="A5" t="s">
        <v>72</v>
      </c>
    </row>
    <row r="6" spans="1:1" x14ac:dyDescent="0.35">
      <c r="A6" t="s">
        <v>73</v>
      </c>
    </row>
    <row r="7" spans="1:1" x14ac:dyDescent="0.35">
      <c r="A7" t="s">
        <v>74</v>
      </c>
    </row>
    <row r="8" spans="1:1" x14ac:dyDescent="0.35">
      <c r="A8" t="s">
        <v>75</v>
      </c>
    </row>
    <row r="10" spans="1:1" x14ac:dyDescent="0.35">
      <c r="A10" t="s">
        <v>76</v>
      </c>
    </row>
    <row r="11" spans="1:1" x14ac:dyDescent="0.35">
      <c r="A11" t="s">
        <v>77</v>
      </c>
    </row>
    <row r="12" spans="1:1" x14ac:dyDescent="0.35">
      <c r="A12" t="s">
        <v>78</v>
      </c>
    </row>
    <row r="13" spans="1:1" x14ac:dyDescent="0.35">
      <c r="A13" t="s">
        <v>79</v>
      </c>
    </row>
    <row r="14" spans="1:1" x14ac:dyDescent="0.35">
      <c r="A14" t="s">
        <v>80</v>
      </c>
    </row>
    <row r="15" spans="1:1" x14ac:dyDescent="0.35">
      <c r="A15" t="s">
        <v>81</v>
      </c>
    </row>
    <row r="16" spans="1:1" x14ac:dyDescent="0.35">
      <c r="A16" t="s">
        <v>82</v>
      </c>
    </row>
    <row r="17" spans="1:1" x14ac:dyDescent="0.35">
      <c r="A17" t="s">
        <v>83</v>
      </c>
    </row>
    <row r="19" spans="1:1" x14ac:dyDescent="0.35">
      <c r="A19" t="s">
        <v>84</v>
      </c>
    </row>
    <row r="20" spans="1:1" x14ac:dyDescent="0.35">
      <c r="A20" t="s">
        <v>85</v>
      </c>
    </row>
    <row r="21" spans="1:1" x14ac:dyDescent="0.35">
      <c r="A21" t="s">
        <v>86</v>
      </c>
    </row>
    <row r="23" spans="1:1" x14ac:dyDescent="0.35">
      <c r="A23" t="s">
        <v>87</v>
      </c>
    </row>
    <row r="24" spans="1:1" x14ac:dyDescent="0.35">
      <c r="A24" t="s">
        <v>88</v>
      </c>
    </row>
    <row r="25" spans="1:1" x14ac:dyDescent="0.35">
      <c r="A25" t="s">
        <v>89</v>
      </c>
    </row>
    <row r="26" spans="1:1" x14ac:dyDescent="0.35">
      <c r="A26" t="s">
        <v>90</v>
      </c>
    </row>
    <row r="27" spans="1:1" x14ac:dyDescent="0.35">
      <c r="A27" t="s">
        <v>91</v>
      </c>
    </row>
    <row r="29" spans="1:1" x14ac:dyDescent="0.35">
      <c r="A29" t="s">
        <v>92</v>
      </c>
    </row>
    <row r="30" spans="1:1" x14ac:dyDescent="0.35">
      <c r="A30" t="s">
        <v>93</v>
      </c>
    </row>
    <row r="31" spans="1:1" x14ac:dyDescent="0.35">
      <c r="A31" t="s">
        <v>94</v>
      </c>
    </row>
    <row r="32" spans="1:1" x14ac:dyDescent="0.35">
      <c r="A3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Emission Factors (Blank)</vt:lpstr>
      <vt:lpstr>Emission Factors (India-EU-US)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Pankaj Jaiswal</cp:lastModifiedBy>
  <dcterms:created xsi:type="dcterms:W3CDTF">2025-08-26T07:59:57Z</dcterms:created>
  <dcterms:modified xsi:type="dcterms:W3CDTF">2026-01-01T07:31:40Z</dcterms:modified>
</cp:coreProperties>
</file>